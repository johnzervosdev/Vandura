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iable" sheetId="1" r:id="rId4"/>
    <sheet state="visible" name="EST Accrual" sheetId="2" r:id="rId5"/>
  </sheets>
  <definedNames/>
  <calcPr/>
  <extLst>
    <ext uri="GoogleSheetsCustomDataVersion2">
      <go:sheetsCustomData xmlns:go="http://customooxmlschemas.google.com/" r:id="rId6" roundtripDataChecksum="/sFYw5V+uQKAYSIHAL2hNPB5IZV/PLVLp2BK3OHy4Bo="/>
    </ext>
  </extLst>
</workbook>
</file>

<file path=xl/sharedStrings.xml><?xml version="1.0" encoding="utf-8"?>
<sst xmlns="http://schemas.openxmlformats.org/spreadsheetml/2006/main" count="78" uniqueCount="57">
  <si>
    <t>Name:</t>
  </si>
  <si>
    <t>John Zervos</t>
  </si>
  <si>
    <t>VARIABLE EMPLOYEE</t>
  </si>
  <si>
    <t>Week Ending:</t>
  </si>
  <si>
    <t>Company</t>
  </si>
  <si>
    <t>Project Code</t>
  </si>
  <si>
    <t>ROLE AND STORY CARD NUMBER</t>
  </si>
  <si>
    <t>Sat</t>
  </si>
  <si>
    <t>Sun</t>
  </si>
  <si>
    <t>Mon</t>
  </si>
  <si>
    <t>Tue</t>
  </si>
  <si>
    <t>Wed</t>
  </si>
  <si>
    <t>Thu</t>
  </si>
  <si>
    <t>Fri</t>
  </si>
  <si>
    <t>TOTAL HOURS</t>
  </si>
  <si>
    <t>La-Z-Boy</t>
  </si>
  <si>
    <t>SOW018</t>
  </si>
  <si>
    <t>Flomat (Pompeii) DEV - 977</t>
  </si>
  <si>
    <t>Flomat (Costing) DEV - BIN</t>
  </si>
  <si>
    <t>Flomat (Costing) DEV - Deeper Dive</t>
  </si>
  <si>
    <t>Flomat (Costing) DEV - Scrum</t>
  </si>
  <si>
    <t>Flomat (Costing) DEV - STU</t>
  </si>
  <si>
    <t>Flomat (Costing) DEV - 1001</t>
  </si>
  <si>
    <t>Flomat DEV - Deeper Dive</t>
  </si>
  <si>
    <t>Flomat DEV - Scrum</t>
  </si>
  <si>
    <t>Flomat DEV - STU</t>
  </si>
  <si>
    <t>Flomat DEV - 971</t>
  </si>
  <si>
    <t>Flomat DEV - 995</t>
  </si>
  <si>
    <t>Billable Subtotal:</t>
  </si>
  <si>
    <t>Menlo Internal Support Hours</t>
  </si>
  <si>
    <t>Menlo Internal</t>
  </si>
  <si>
    <t>OPS</t>
  </si>
  <si>
    <t>Timesheet</t>
  </si>
  <si>
    <t>PERSONNEL</t>
  </si>
  <si>
    <t>Job Search</t>
  </si>
  <si>
    <t xml:space="preserve">Non-billable client related work and Menlo internal support hours Subtotal: </t>
  </si>
  <si>
    <t>Daily totals:</t>
  </si>
  <si>
    <t>hours remaining this week</t>
  </si>
  <si>
    <t>I certify that this is an accurate and complete record of work-related time.</t>
  </si>
  <si>
    <t>friday start time</t>
  </si>
  <si>
    <t>Signature: John Zervos</t>
  </si>
  <si>
    <t>Front office approval:</t>
  </si>
  <si>
    <t>Hours worked:</t>
  </si>
  <si>
    <t>friday end time</t>
  </si>
  <si>
    <t>Paid Sick Leave</t>
  </si>
  <si>
    <t>Date:</t>
  </si>
  <si>
    <t>Total hours:</t>
  </si>
  <si>
    <t>Week ending</t>
  </si>
  <si>
    <t>Hours for Week</t>
  </si>
  <si>
    <t>Total EST Earned</t>
  </si>
  <si>
    <t>EST Used for Week</t>
  </si>
  <si>
    <t>Total hours worked this year divided by 30, rounded down to a maximum of 72 hours</t>
  </si>
  <si>
    <t>Currently Earned</t>
  </si>
  <si>
    <t>Currently Used</t>
  </si>
  <si>
    <t>Remaining</t>
  </si>
  <si>
    <t>checked current number with Emily</t>
  </si>
  <si>
    <t>Totals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</si>
</sst>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m/dd/yyyy"/>
    <numFmt numFmtId="165" formatCode="m/d"/>
    <numFmt numFmtId="166" formatCode="#,##0.00;\(#,##0.00\)"/>
    <numFmt numFmtId="167" formatCode="m/d/yy"/>
  </numFmts>
  <fonts count="8"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rgb="FF003300"/>
      <name val="Arial"/>
    </font>
    <font/>
    <font>
      <sz val="11.0"/>
      <color theme="1"/>
      <name val="Arial"/>
    </font>
    <font>
      <color theme="1"/>
      <name val="Calibri"/>
    </font>
    <font>
      <b/>
      <i/>
      <sz val="11.0"/>
      <color rgb="FF003300"/>
      <name val="Arial"/>
    </font>
    <font>
      <i/>
      <sz val="11.0"/>
      <color rgb="FF0033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D6DCE4"/>
        <bgColor rgb="FFD6DCE4"/>
      </patternFill>
    </fill>
    <fill>
      <patternFill patternType="solid">
        <fgColor rgb="FFF7CAAC"/>
        <bgColor rgb="FFF7CAAC"/>
      </patternFill>
    </fill>
    <fill>
      <patternFill patternType="solid">
        <fgColor rgb="FF000000"/>
        <bgColor rgb="FF000000"/>
      </patternFill>
    </fill>
    <fill>
      <patternFill patternType="solid">
        <fgColor rgb="FFF4B083"/>
        <bgColor rgb="FFF4B083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</fills>
  <borders count="50">
    <border/>
    <border>
      <left style="medium">
        <color rgb="FF000000"/>
      </left>
      <top style="medium">
        <color rgb="FF000000"/>
      </top>
      <bottom style="thin">
        <color rgb="FFFFFFFF"/>
      </bottom>
    </border>
    <border>
      <top style="medium">
        <color rgb="FF000000"/>
      </top>
      <bottom style="thin">
        <color rgb="FF0033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3300"/>
      </right>
      <bottom style="thin">
        <color rgb="FFFFFFFF"/>
      </bottom>
    </border>
    <border>
      <left/>
      <right style="thin">
        <color rgb="FF000000"/>
      </right>
      <top/>
      <bottom style="thin">
        <color rgb="FF0033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medium">
        <color rgb="FF000000"/>
      </right>
    </border>
    <border>
      <left/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FFFFFF"/>
      </bottom>
    </border>
    <border>
      <left/>
      <right style="thin">
        <color rgb="FF000000"/>
      </right>
      <top/>
    </border>
    <border>
      <left/>
      <right style="thin">
        <color rgb="FF003300"/>
      </right>
      <top/>
      <bottom style="thin">
        <color rgb="FF003300"/>
      </bottom>
    </border>
    <border>
      <left/>
      <right style="thin">
        <color rgb="FF003300"/>
      </right>
      <top/>
    </border>
    <border>
      <left/>
      <right style="thin">
        <color rgb="FF000000"/>
      </right>
      <bottom style="thin">
        <color rgb="FF000000"/>
      </bottom>
    </border>
    <border>
      <left/>
      <right style="thin">
        <color rgb="FF003300"/>
      </right>
      <bottom style="thin">
        <color rgb="FF000000"/>
      </bottom>
    </border>
    <border>
      <right style="thin">
        <color rgb="FF003300"/>
      </right>
      <bottom style="thin">
        <color rgb="FF003300"/>
      </bottom>
    </border>
    <border>
      <right style="thin">
        <color rgb="FF003300"/>
      </right>
      <bottom style="thin">
        <color rgb="FF000000"/>
      </bottom>
    </border>
    <border>
      <right style="thin">
        <color rgb="FF003300"/>
      </right>
    </border>
    <border>
      <left style="thin">
        <color rgb="FF003300"/>
      </left>
      <right style="thin">
        <color rgb="FF003300"/>
      </right>
      <top style="thin">
        <color rgb="FF000000"/>
      </top>
      <bottom style="thin">
        <color rgb="FF003300"/>
      </bottom>
    </border>
    <border>
      <right style="thin">
        <color rgb="FF003300"/>
      </right>
      <top style="thin">
        <color rgb="FF000000"/>
      </top>
      <bottom style="thin">
        <color rgb="FF003300"/>
      </bottom>
    </border>
    <border>
      <left style="medium">
        <color rgb="FF000000"/>
      </left>
      <right style="thin">
        <color rgb="FFFFFFFF"/>
      </right>
      <bottom style="thin">
        <color rgb="FFFFFFFF"/>
      </bottom>
    </border>
    <border>
      <right style="thin">
        <color rgb="FF003300"/>
      </right>
      <top/>
      <bottom style="thin">
        <color rgb="FF000000"/>
      </bottom>
    </border>
    <border>
      <left style="medium">
        <color rgb="FF000000"/>
      </left>
      <bottom style="thin">
        <color rgb="FFFFFFFF"/>
      </bottom>
    </border>
    <border>
      <left/>
      <top/>
    </border>
    <border>
      <top/>
    </border>
    <border>
      <left/>
      <right/>
      <top/>
      <bottom style="thin">
        <color rgb="FF003300"/>
      </bottom>
    </border>
    <border>
      <left/>
      <right style="thin">
        <color rgb="FF003300"/>
      </right>
      <top/>
      <bottom style="thin">
        <color rgb="FF000000"/>
      </bottom>
    </border>
    <border>
      <bottom style="thin">
        <color rgb="FF003300"/>
      </bottom>
    </border>
    <border>
      <right style="thin">
        <color rgb="FF000000"/>
      </right>
      <top/>
    </border>
    <border>
      <left style="thin">
        <color rgb="FF000000"/>
      </left>
      <top style="thin">
        <color rgb="FF003300"/>
      </top>
      <bottom style="thin">
        <color rgb="FF000000"/>
      </bottom>
    </border>
    <border>
      <right style="thin">
        <color rgb="FF003300"/>
      </right>
      <top style="thin">
        <color rgb="FF003300"/>
      </top>
      <bottom style="thin">
        <color rgb="FF000000"/>
      </bottom>
    </border>
    <border>
      <left/>
    </border>
    <border>
      <left/>
      <top/>
      <bottom style="thin">
        <color rgb="FF003300"/>
      </bottom>
    </border>
    <border>
      <right style="thin">
        <color rgb="FF000000"/>
      </right>
      <top/>
      <bottom style="thin">
        <color rgb="FF003300"/>
      </bottom>
    </border>
    <border>
      <left/>
      <bottom style="thin">
        <color rgb="FF003300"/>
      </bottom>
    </border>
    <border>
      <right style="thin">
        <color rgb="FF000000"/>
      </right>
      <bottom style="thin">
        <color rgb="FF003300"/>
      </bottom>
    </border>
    <border>
      <left style="medium">
        <color rgb="FF000000"/>
      </left>
      <right style="thin">
        <color rgb="FFFFFFFF"/>
      </right>
      <bottom style="medium">
        <color rgb="FF000000"/>
      </bottom>
    </border>
    <border>
      <right style="thin">
        <color rgb="FFFFFFFF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0" fontId="1" numFmtId="0" xfId="0" applyBorder="1" applyFont="1"/>
    <xf borderId="3" fillId="0" fontId="1" numFmtId="0" xfId="0" applyBorder="1" applyFont="1"/>
    <xf borderId="4" fillId="0" fontId="1" numFmtId="0" xfId="0" applyBorder="1" applyFont="1"/>
    <xf borderId="5" fillId="0" fontId="1" numFmtId="0" xfId="0" applyBorder="1" applyFont="1"/>
    <xf borderId="6" fillId="2" fontId="2" numFmtId="0" xfId="0" applyAlignment="1" applyBorder="1" applyFill="1" applyFont="1">
      <alignment horizontal="right"/>
    </xf>
    <xf borderId="7" fillId="0" fontId="2" numFmtId="0" xfId="0" applyBorder="1" applyFont="1"/>
    <xf borderId="8" fillId="0" fontId="3" numFmtId="0" xfId="0" applyBorder="1" applyFont="1"/>
    <xf borderId="0" fillId="0" fontId="2" numFmtId="0" xfId="0" applyAlignment="1" applyFont="1">
      <alignment horizontal="center" vertical="center"/>
    </xf>
    <xf borderId="9" fillId="0" fontId="3" numFmtId="0" xfId="0" applyBorder="1" applyFont="1"/>
    <xf borderId="10" fillId="0" fontId="4" numFmtId="0" xfId="0" applyBorder="1" applyFont="1"/>
    <xf borderId="11" fillId="2" fontId="2" numFmtId="0" xfId="0" applyAlignment="1" applyBorder="1" applyFont="1">
      <alignment horizontal="right"/>
    </xf>
    <xf borderId="7" fillId="0" fontId="2" numFmtId="164" xfId="0" applyAlignment="1" applyBorder="1" applyFont="1" applyNumberFormat="1">
      <alignment horizontal="left" readingOrder="0"/>
    </xf>
    <xf borderId="7" fillId="0" fontId="3" numFmtId="0" xfId="0" applyBorder="1" applyFont="1"/>
    <xf borderId="12" fillId="0" fontId="1" numFmtId="0" xfId="0" applyBorder="1" applyFont="1"/>
    <xf borderId="13" fillId="3" fontId="4" numFmtId="49" xfId="0" applyAlignment="1" applyBorder="1" applyFill="1" applyFont="1" applyNumberFormat="1">
      <alignment horizontal="center" shrinkToFit="0" vertical="center" wrapText="1"/>
    </xf>
    <xf borderId="14" fillId="3" fontId="2" numFmtId="0" xfId="0" applyAlignment="1" applyBorder="1" applyFont="1">
      <alignment horizontal="center"/>
    </xf>
    <xf borderId="15" fillId="3" fontId="2" numFmtId="0" xfId="0" applyAlignment="1" applyBorder="1" applyFont="1">
      <alignment horizontal="center" shrinkToFit="0" vertical="center" wrapText="1"/>
    </xf>
    <xf borderId="16" fillId="0" fontId="3" numFmtId="0" xfId="0" applyBorder="1" applyFont="1"/>
    <xf borderId="14" fillId="3" fontId="2" numFmtId="165" xfId="0" applyAlignment="1" applyBorder="1" applyFont="1" applyNumberFormat="1">
      <alignment horizontal="center"/>
    </xf>
    <xf borderId="17" fillId="0" fontId="3" numFmtId="0" xfId="0" applyBorder="1" applyFont="1"/>
    <xf borderId="5" fillId="0" fontId="1" numFmtId="0" xfId="0" applyAlignment="1" applyBorder="1" applyFont="1">
      <alignment vertical="bottom"/>
    </xf>
    <xf borderId="18" fillId="0" fontId="2" numFmtId="0" xfId="0" applyAlignment="1" applyBorder="1" applyFont="1">
      <alignment horizontal="center" vertical="bottom"/>
    </xf>
    <xf borderId="19" fillId="0" fontId="2" numFmtId="0" xfId="0" applyAlignment="1" applyBorder="1" applyFont="1">
      <alignment vertical="bottom"/>
    </xf>
    <xf borderId="14" fillId="2" fontId="1" numFmtId="166" xfId="0" applyAlignment="1" applyBorder="1" applyFont="1" applyNumberFormat="1">
      <alignment vertical="bottom"/>
    </xf>
    <xf borderId="18" fillId="0" fontId="4" numFmtId="2" xfId="0" applyAlignment="1" applyBorder="1" applyFont="1" applyNumberFormat="1">
      <alignment horizontal="center" vertical="center"/>
    </xf>
    <xf borderId="18" fillId="0" fontId="4" numFmtId="2" xfId="0" applyAlignment="1" applyBorder="1" applyFont="1" applyNumberFormat="1">
      <alignment horizontal="center" readingOrder="0" vertical="center"/>
    </xf>
    <xf borderId="14" fillId="4" fontId="2" numFmtId="2" xfId="0" applyAlignment="1" applyBorder="1" applyFill="1" applyFont="1" applyNumberFormat="1">
      <alignment horizontal="center" vertical="bottom"/>
    </xf>
    <xf borderId="10" fillId="0" fontId="1" numFmtId="4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20" xfId="0" applyAlignment="1" applyFont="1" applyNumberFormat="1">
      <alignment vertical="bottom"/>
    </xf>
    <xf borderId="18" fillId="5" fontId="2" numFmtId="0" xfId="0" applyAlignment="1" applyBorder="1" applyFill="1" applyFont="1">
      <alignment horizontal="center"/>
    </xf>
    <xf borderId="20" fillId="5" fontId="2" numFmtId="0" xfId="0" applyBorder="1" applyFont="1"/>
    <xf borderId="14" fillId="5" fontId="4" numFmtId="166" xfId="0" applyBorder="1" applyFont="1" applyNumberFormat="1"/>
    <xf borderId="14" fillId="5" fontId="4" numFmtId="2" xfId="0" applyAlignment="1" applyBorder="1" applyFont="1" applyNumberFormat="1">
      <alignment horizontal="center" vertical="center"/>
    </xf>
    <xf borderId="18" fillId="5" fontId="4" numFmtId="2" xfId="0" applyAlignment="1" applyBorder="1" applyFont="1" applyNumberFormat="1">
      <alignment horizontal="center" vertical="center"/>
    </xf>
    <xf borderId="14" fillId="5" fontId="2" numFmtId="2" xfId="0" applyAlignment="1" applyBorder="1" applyFont="1" applyNumberFormat="1">
      <alignment horizontal="center"/>
    </xf>
    <xf borderId="18" fillId="0" fontId="2" numFmtId="0" xfId="0" applyAlignment="1" applyBorder="1" applyFont="1">
      <alignment horizontal="center"/>
    </xf>
    <xf borderId="19" fillId="0" fontId="2" numFmtId="0" xfId="0" applyAlignment="1" applyBorder="1" applyFont="1">
      <alignment readingOrder="0" vertical="bottom"/>
    </xf>
    <xf borderId="14" fillId="2" fontId="4" numFmtId="166" xfId="0" applyBorder="1" applyFont="1" applyNumberFormat="1"/>
    <xf borderId="14" fillId="4" fontId="2" numFmtId="2" xfId="0" applyAlignment="1" applyBorder="1" applyFont="1" applyNumberFormat="1">
      <alignment horizontal="center"/>
    </xf>
    <xf borderId="10" fillId="0" fontId="4" numFmtId="4" xfId="0" applyBorder="1" applyFont="1" applyNumberFormat="1"/>
    <xf borderId="0" fillId="0" fontId="5" numFmtId="0" xfId="0" applyFont="1"/>
    <xf borderId="0" fillId="0" fontId="5" numFmtId="20" xfId="0" applyFont="1" applyNumberFormat="1"/>
    <xf borderId="21" fillId="5" fontId="2" numFmtId="0" xfId="0" applyAlignment="1" applyBorder="1" applyFont="1">
      <alignment horizontal="center"/>
    </xf>
    <xf borderId="22" fillId="5" fontId="2" numFmtId="0" xfId="0" applyAlignment="1" applyBorder="1" applyFont="1">
      <alignment horizontal="center"/>
    </xf>
    <xf borderId="22" fillId="5" fontId="2" numFmtId="0" xfId="0" applyBorder="1" applyFont="1"/>
    <xf borderId="23" fillId="0" fontId="1" numFmtId="0" xfId="0" applyBorder="1" applyFont="1"/>
    <xf borderId="0" fillId="0" fontId="2" numFmtId="0" xfId="0" applyAlignment="1" applyFont="1">
      <alignment horizontal="right"/>
    </xf>
    <xf borderId="20" fillId="0" fontId="3" numFmtId="0" xfId="0" applyBorder="1" applyFont="1"/>
    <xf borderId="24" fillId="6" fontId="2" numFmtId="2" xfId="0" applyAlignment="1" applyBorder="1" applyFill="1" applyFont="1" applyNumberFormat="1">
      <alignment horizontal="center" vertical="center"/>
    </xf>
    <xf borderId="25" fillId="0" fontId="1" numFmtId="0" xfId="0" applyBorder="1" applyFont="1"/>
    <xf borderId="26" fillId="7" fontId="6" numFmtId="0" xfId="0" applyAlignment="1" applyBorder="1" applyFill="1" applyFont="1">
      <alignment horizontal="center"/>
    </xf>
    <xf borderId="27" fillId="0" fontId="3" numFmtId="0" xfId="0" applyBorder="1" applyFont="1"/>
    <xf borderId="28" fillId="7" fontId="4" numFmtId="0" xfId="0" applyBorder="1" applyFont="1"/>
    <xf borderId="28" fillId="7" fontId="4" numFmtId="166" xfId="0" applyBorder="1" applyFont="1" applyNumberFormat="1"/>
    <xf borderId="28" fillId="7" fontId="4" numFmtId="2" xfId="0" applyBorder="1" applyFont="1" applyNumberFormat="1"/>
    <xf borderId="21" fillId="0" fontId="2" numFmtId="0" xfId="0" applyAlignment="1" applyBorder="1" applyFont="1">
      <alignment horizontal="center"/>
    </xf>
    <xf borderId="22" fillId="0" fontId="2" numFmtId="0" xfId="0" applyAlignment="1" applyBorder="1" applyFont="1">
      <alignment horizontal="center"/>
    </xf>
    <xf borderId="22" fillId="0" fontId="2" numFmtId="0" xfId="0" applyBorder="1" applyFont="1"/>
    <xf borderId="14" fillId="8" fontId="4" numFmtId="2" xfId="0" applyAlignment="1" applyBorder="1" applyFill="1" applyFont="1" applyNumberFormat="1">
      <alignment horizontal="center" vertical="center"/>
    </xf>
    <xf borderId="22" fillId="0" fontId="2" numFmtId="0" xfId="0" applyAlignment="1" applyBorder="1" applyFont="1">
      <alignment horizontal="center" readingOrder="0"/>
    </xf>
    <xf borderId="22" fillId="0" fontId="2" numFmtId="0" xfId="0" applyAlignment="1" applyBorder="1" applyFont="1">
      <alignment readingOrder="0"/>
    </xf>
    <xf borderId="29" fillId="6" fontId="2" numFmtId="2" xfId="0" applyAlignment="1" applyBorder="1" applyFont="1" applyNumberFormat="1">
      <alignment horizontal="center" vertical="center"/>
    </xf>
    <xf borderId="0" fillId="0" fontId="4" numFmtId="0" xfId="0" applyFont="1"/>
    <xf borderId="0" fillId="0" fontId="5" numFmtId="2" xfId="0" applyFont="1" applyNumberFormat="1"/>
    <xf borderId="30" fillId="0" fontId="7" numFmtId="0" xfId="0" applyBorder="1" applyFont="1"/>
    <xf borderId="30" fillId="0" fontId="4" numFmtId="0" xfId="0" applyBorder="1" applyFont="1"/>
    <xf borderId="7" fillId="0" fontId="4" numFmtId="0" xfId="0" applyBorder="1" applyFont="1"/>
    <xf borderId="0" fillId="0" fontId="5" numFmtId="19" xfId="0" applyFont="1" applyNumberFormat="1"/>
    <xf borderId="0" fillId="0" fontId="2" numFmtId="0" xfId="0" applyAlignment="1" applyFont="1">
      <alignment vertical="top"/>
    </xf>
    <xf borderId="26" fillId="2" fontId="2" numFmtId="0" xfId="0" applyAlignment="1" applyBorder="1" applyFont="1">
      <alignment vertical="top"/>
    </xf>
    <xf borderId="31" fillId="0" fontId="3" numFmtId="0" xfId="0" applyBorder="1" applyFont="1"/>
    <xf borderId="7" fillId="0" fontId="4" numFmtId="0" xfId="0" applyAlignment="1" applyBorder="1" applyFont="1">
      <alignment horizontal="right"/>
    </xf>
    <xf borderId="32" fillId="6" fontId="2" numFmtId="2" xfId="0" applyAlignment="1" applyBorder="1" applyFont="1" applyNumberFormat="1">
      <alignment horizontal="center" vertical="center"/>
    </xf>
    <xf borderId="33" fillId="0" fontId="3" numFmtId="0" xfId="0" applyBorder="1" applyFont="1"/>
    <xf borderId="34" fillId="0" fontId="3" numFmtId="0" xfId="0" applyBorder="1" applyFont="1"/>
    <xf borderId="35" fillId="4" fontId="2" numFmtId="2" xfId="0" applyAlignment="1" applyBorder="1" applyFont="1" applyNumberFormat="1">
      <alignment horizontal="center"/>
    </xf>
    <xf borderId="36" fillId="0" fontId="3" numFmtId="0" xfId="0" applyBorder="1" applyFont="1"/>
    <xf borderId="21" fillId="0" fontId="2" numFmtId="0" xfId="0" applyAlignment="1" applyBorder="1" applyFont="1">
      <alignment horizontal="center" vertical="center"/>
    </xf>
    <xf borderId="22" fillId="0" fontId="2" numFmtId="164" xfId="0" applyAlignment="1" applyBorder="1" applyFont="1" applyNumberFormat="1">
      <alignment horizontal="left" vertical="center"/>
    </xf>
    <xf borderId="37" fillId="0" fontId="3" numFmtId="0" xfId="0" applyBorder="1" applyFont="1"/>
    <xf borderId="30" fillId="0" fontId="3" numFmtId="0" xfId="0" applyBorder="1" applyFont="1"/>
    <xf borderId="38" fillId="0" fontId="3" numFmtId="0" xfId="0" applyBorder="1" applyFont="1"/>
    <xf borderId="39" fillId="0" fontId="1" numFmtId="0" xfId="0" applyBorder="1" applyFont="1"/>
    <xf borderId="40" fillId="0" fontId="1" numFmtId="0" xfId="0" applyBorder="1" applyFont="1"/>
    <xf borderId="41" fillId="0" fontId="1" numFmtId="0" xfId="0" applyBorder="1" applyFont="1"/>
    <xf borderId="0" fillId="0" fontId="1" numFmtId="0" xfId="0" applyFont="1"/>
    <xf borderId="0" fillId="0" fontId="1" numFmtId="167" xfId="0" applyFont="1" applyNumberFormat="1"/>
    <xf borderId="42" fillId="9" fontId="5" numFmtId="0" xfId="0" applyAlignment="1" applyBorder="1" applyFill="1" applyFont="1">
      <alignment horizontal="center" shrinkToFit="0" wrapText="1"/>
    </xf>
    <xf borderId="43" fillId="0" fontId="3" numFmtId="0" xfId="0" applyBorder="1" applyFont="1"/>
    <xf borderId="44" fillId="0" fontId="3" numFmtId="0" xfId="0" applyBorder="1" applyFont="1"/>
    <xf borderId="45" fillId="0" fontId="3" numFmtId="0" xfId="0" applyBorder="1" applyFont="1"/>
    <xf borderId="46" fillId="0" fontId="1" numFmtId="0" xfId="0" applyBorder="1" applyFont="1"/>
    <xf borderId="47" fillId="0" fontId="1" numFmtId="0" xfId="0" applyBorder="1" applyFont="1"/>
    <xf borderId="46" fillId="0" fontId="5" numFmtId="0" xfId="0" applyBorder="1" applyFont="1"/>
    <xf borderId="47" fillId="0" fontId="5" numFmtId="0" xfId="0" applyBorder="1" applyFont="1"/>
    <xf borderId="48" fillId="0" fontId="5" numFmtId="0" xfId="0" applyBorder="1" applyFont="1"/>
    <xf borderId="49" fillId="0" fontId="5" numFmtId="0" xfId="0" applyBorder="1" applyFont="1"/>
    <xf borderId="0" fillId="0" fontId="5" numFmtId="0" xfId="0" applyAlignment="1" applyFont="1">
      <alignment horizontal="center" shrinkToFit="0" wrapText="1"/>
    </xf>
    <xf borderId="28" fillId="5" fontId="1" numFmtId="0" xfId="0" applyBorder="1" applyFont="1"/>
  </cellXfs>
  <cellStyles count="1">
    <cellStyle xfId="0" name="Normal" builtinId="0"/>
  </cellStyles>
  <dxfs count="1"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3.71"/>
    <col customWidth="1" min="2" max="2" width="25.43"/>
    <col customWidth="1" min="3" max="3" width="18.43"/>
    <col customWidth="1" min="4" max="4" width="64.86"/>
    <col customWidth="1" min="5" max="11" width="10.0"/>
    <col customWidth="1" min="12" max="12" width="13.29"/>
    <col customWidth="1" min="13" max="13" width="11.29"/>
    <col customWidth="1" min="14" max="27" width="16.43"/>
  </cols>
  <sheetData>
    <row r="1">
      <c r="A1" s="1"/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ht="18.0" customHeight="1">
      <c r="A2" s="5"/>
      <c r="B2" s="6" t="s">
        <v>0</v>
      </c>
      <c r="C2" s="7" t="s">
        <v>1</v>
      </c>
      <c r="D2" s="8"/>
      <c r="E2" s="9" t="s">
        <v>2</v>
      </c>
      <c r="L2" s="10"/>
      <c r="M2" s="11"/>
    </row>
    <row r="3" ht="18.0" customHeight="1">
      <c r="A3" s="5"/>
      <c r="B3" s="12" t="s">
        <v>3</v>
      </c>
      <c r="C3" s="13">
        <v>45996.0</v>
      </c>
      <c r="D3" s="8"/>
      <c r="E3" s="14"/>
      <c r="F3" s="14"/>
      <c r="G3" s="14"/>
      <c r="H3" s="14"/>
      <c r="I3" s="14"/>
      <c r="J3" s="14"/>
      <c r="K3" s="14"/>
      <c r="L3" s="8"/>
      <c r="M3" s="11"/>
    </row>
    <row r="4" ht="18.0" customHeight="1">
      <c r="A4" s="15"/>
      <c r="B4" s="16" t="s">
        <v>4</v>
      </c>
      <c r="C4" s="16" t="s">
        <v>5</v>
      </c>
      <c r="D4" s="16" t="s">
        <v>6</v>
      </c>
      <c r="E4" s="17" t="s">
        <v>7</v>
      </c>
      <c r="F4" s="17" t="s">
        <v>8</v>
      </c>
      <c r="G4" s="17" t="s">
        <v>9</v>
      </c>
      <c r="H4" s="17" t="s">
        <v>10</v>
      </c>
      <c r="I4" s="17" t="s">
        <v>11</v>
      </c>
      <c r="J4" s="17" t="s">
        <v>12</v>
      </c>
      <c r="K4" s="17" t="s">
        <v>13</v>
      </c>
      <c r="L4" s="18" t="s">
        <v>14</v>
      </c>
      <c r="M4" s="11"/>
    </row>
    <row r="5" ht="18.0" customHeight="1">
      <c r="A5" s="15"/>
      <c r="B5" s="19"/>
      <c r="C5" s="19"/>
      <c r="D5" s="19"/>
      <c r="E5" s="20">
        <f t="shared" ref="E5:J5" si="1">IF(($C$3=""),"",(F5-1))</f>
        <v>45990</v>
      </c>
      <c r="F5" s="20">
        <f t="shared" si="1"/>
        <v>45991</v>
      </c>
      <c r="G5" s="20">
        <f t="shared" si="1"/>
        <v>45992</v>
      </c>
      <c r="H5" s="20">
        <f t="shared" si="1"/>
        <v>45993</v>
      </c>
      <c r="I5" s="20">
        <f t="shared" si="1"/>
        <v>45994</v>
      </c>
      <c r="J5" s="20">
        <f t="shared" si="1"/>
        <v>45995</v>
      </c>
      <c r="K5" s="20">
        <f>IF(($C$3=""),"",C3)</f>
        <v>45996</v>
      </c>
      <c r="L5" s="21"/>
      <c r="M5" s="11"/>
    </row>
    <row r="6" ht="18.0" customHeight="1">
      <c r="A6" s="22"/>
      <c r="B6" s="23" t="s">
        <v>15</v>
      </c>
      <c r="C6" s="23" t="s">
        <v>16</v>
      </c>
      <c r="D6" s="24" t="s">
        <v>17</v>
      </c>
      <c r="E6" s="25"/>
      <c r="F6" s="25"/>
      <c r="G6" s="26"/>
      <c r="H6" s="25"/>
      <c r="I6" s="27">
        <v>0.5</v>
      </c>
      <c r="J6" s="26"/>
      <c r="K6" s="26"/>
      <c r="L6" s="28">
        <f>SUM(E6:K6)</f>
        <v>0.5</v>
      </c>
      <c r="M6" s="29"/>
      <c r="N6" s="30"/>
      <c r="O6" s="31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 ht="8.25" customHeight="1">
      <c r="A7" s="5"/>
      <c r="B7" s="32"/>
      <c r="C7" s="32"/>
      <c r="D7" s="33"/>
      <c r="E7" s="34"/>
      <c r="F7" s="35"/>
      <c r="G7" s="36"/>
      <c r="H7" s="34"/>
      <c r="I7" s="36"/>
      <c r="J7" s="36"/>
      <c r="K7" s="36"/>
      <c r="L7" s="37"/>
      <c r="M7" s="11"/>
    </row>
    <row r="8" ht="18.0" customHeight="1">
      <c r="A8" s="5"/>
      <c r="B8" s="38" t="s">
        <v>15</v>
      </c>
      <c r="C8" s="23" t="s">
        <v>16</v>
      </c>
      <c r="D8" s="39" t="s">
        <v>18</v>
      </c>
      <c r="E8" s="40"/>
      <c r="F8" s="40"/>
      <c r="G8" s="27">
        <v>3.5</v>
      </c>
      <c r="H8" s="40"/>
      <c r="I8" s="27">
        <v>6.5</v>
      </c>
      <c r="J8" s="26"/>
      <c r="K8" s="26"/>
      <c r="L8" s="41">
        <f t="shared" ref="L8:L12" si="2">SUM(E8:K8)</f>
        <v>10</v>
      </c>
      <c r="M8" s="42"/>
      <c r="N8" s="43"/>
      <c r="O8" s="44"/>
    </row>
    <row r="9" ht="18.0" customHeight="1">
      <c r="A9" s="5"/>
      <c r="B9" s="38" t="s">
        <v>15</v>
      </c>
      <c r="C9" s="23" t="s">
        <v>16</v>
      </c>
      <c r="D9" s="39" t="s">
        <v>19</v>
      </c>
      <c r="E9" s="40"/>
      <c r="F9" s="40"/>
      <c r="G9" s="27"/>
      <c r="H9" s="40"/>
      <c r="I9" s="27">
        <v>0.5</v>
      </c>
      <c r="J9" s="27">
        <v>0.5</v>
      </c>
      <c r="K9" s="26"/>
      <c r="L9" s="41">
        <f t="shared" si="2"/>
        <v>1</v>
      </c>
      <c r="M9" s="42"/>
      <c r="N9" s="43"/>
      <c r="O9" s="44"/>
    </row>
    <row r="10" ht="18.0" customHeight="1">
      <c r="A10" s="5"/>
      <c r="B10" s="38" t="s">
        <v>15</v>
      </c>
      <c r="C10" s="23" t="s">
        <v>16</v>
      </c>
      <c r="D10" s="39" t="s">
        <v>20</v>
      </c>
      <c r="E10" s="40"/>
      <c r="F10" s="40"/>
      <c r="G10" s="27"/>
      <c r="H10" s="40"/>
      <c r="I10" s="27">
        <v>0.25</v>
      </c>
      <c r="J10" s="27">
        <v>0.25</v>
      </c>
      <c r="K10" s="27">
        <v>0.5</v>
      </c>
      <c r="L10" s="41">
        <f t="shared" si="2"/>
        <v>1</v>
      </c>
      <c r="M10" s="42"/>
      <c r="N10" s="43"/>
      <c r="O10" s="44"/>
    </row>
    <row r="11" ht="18.0" customHeight="1">
      <c r="A11" s="5"/>
      <c r="B11" s="38" t="s">
        <v>15</v>
      </c>
      <c r="C11" s="23" t="s">
        <v>16</v>
      </c>
      <c r="D11" s="39" t="s">
        <v>21</v>
      </c>
      <c r="E11" s="40"/>
      <c r="F11" s="40"/>
      <c r="G11" s="27"/>
      <c r="H11" s="40"/>
      <c r="I11" s="27">
        <v>0.25</v>
      </c>
      <c r="J11" s="27">
        <v>0.25</v>
      </c>
      <c r="K11" s="27">
        <v>0.25</v>
      </c>
      <c r="L11" s="41">
        <f t="shared" si="2"/>
        <v>0.75</v>
      </c>
      <c r="M11" s="42"/>
      <c r="N11" s="43"/>
      <c r="O11" s="44"/>
    </row>
    <row r="12" ht="18.0" customHeight="1">
      <c r="A12" s="5"/>
      <c r="B12" s="38" t="s">
        <v>15</v>
      </c>
      <c r="C12" s="23" t="s">
        <v>16</v>
      </c>
      <c r="D12" s="39" t="s">
        <v>22</v>
      </c>
      <c r="E12" s="40"/>
      <c r="F12" s="40"/>
      <c r="G12" s="27"/>
      <c r="H12" s="40"/>
      <c r="I12" s="27"/>
      <c r="J12" s="27">
        <v>6.0</v>
      </c>
      <c r="K12" s="27">
        <v>7.25</v>
      </c>
      <c r="L12" s="41">
        <f t="shared" si="2"/>
        <v>13.25</v>
      </c>
      <c r="M12" s="42">
        <f>SUM(L8:L12)</f>
        <v>26</v>
      </c>
      <c r="N12" s="43"/>
      <c r="O12" s="44"/>
    </row>
    <row r="13" ht="8.25" customHeight="1">
      <c r="A13" s="5"/>
      <c r="B13" s="45"/>
      <c r="C13" s="46"/>
      <c r="D13" s="47"/>
      <c r="E13" s="34"/>
      <c r="F13" s="35"/>
      <c r="G13" s="36"/>
      <c r="H13" s="34"/>
      <c r="I13" s="35"/>
      <c r="J13" s="35"/>
      <c r="K13" s="35"/>
      <c r="L13" s="37"/>
      <c r="M13" s="11"/>
    </row>
    <row r="14" ht="18.0" customHeight="1">
      <c r="A14" s="5"/>
      <c r="B14" s="38" t="s">
        <v>15</v>
      </c>
      <c r="C14" s="23" t="s">
        <v>16</v>
      </c>
      <c r="D14" s="24" t="s">
        <v>23</v>
      </c>
      <c r="E14" s="40"/>
      <c r="F14" s="40"/>
      <c r="G14" s="27">
        <v>0.5</v>
      </c>
      <c r="H14" s="40"/>
      <c r="I14" s="26"/>
      <c r="J14" s="26"/>
      <c r="K14" s="26"/>
      <c r="L14" s="41">
        <f t="shared" ref="L14:L18" si="3">SUM(E14:K14)</f>
        <v>0.5</v>
      </c>
      <c r="M14" s="42"/>
      <c r="N14" s="43"/>
      <c r="O14" s="44"/>
    </row>
    <row r="15" ht="18.0" customHeight="1">
      <c r="A15" s="5"/>
      <c r="B15" s="38" t="s">
        <v>15</v>
      </c>
      <c r="C15" s="23" t="s">
        <v>16</v>
      </c>
      <c r="D15" s="24" t="s">
        <v>24</v>
      </c>
      <c r="E15" s="40"/>
      <c r="F15" s="40"/>
      <c r="G15" s="27">
        <v>0.5</v>
      </c>
      <c r="H15" s="40"/>
      <c r="I15" s="26"/>
      <c r="J15" s="26"/>
      <c r="K15" s="26"/>
      <c r="L15" s="41">
        <f t="shared" si="3"/>
        <v>0.5</v>
      </c>
      <c r="M15" s="42"/>
      <c r="N15" s="43"/>
      <c r="O15" s="44"/>
    </row>
    <row r="16" ht="18.0" customHeight="1">
      <c r="A16" s="5"/>
      <c r="B16" s="38" t="s">
        <v>15</v>
      </c>
      <c r="C16" s="23" t="s">
        <v>16</v>
      </c>
      <c r="D16" s="24" t="s">
        <v>25</v>
      </c>
      <c r="E16" s="40"/>
      <c r="F16" s="40"/>
      <c r="G16" s="27">
        <v>0.25</v>
      </c>
      <c r="H16" s="40"/>
      <c r="I16" s="26"/>
      <c r="J16" s="26"/>
      <c r="K16" s="26"/>
      <c r="L16" s="41">
        <f t="shared" si="3"/>
        <v>0.25</v>
      </c>
      <c r="M16" s="42"/>
      <c r="N16" s="43"/>
      <c r="O16" s="44"/>
    </row>
    <row r="17" ht="18.0" customHeight="1">
      <c r="A17" s="5"/>
      <c r="B17" s="38" t="s">
        <v>15</v>
      </c>
      <c r="C17" s="23" t="s">
        <v>16</v>
      </c>
      <c r="D17" s="39" t="s">
        <v>26</v>
      </c>
      <c r="E17" s="40"/>
      <c r="F17" s="40"/>
      <c r="G17" s="27">
        <v>2.25</v>
      </c>
      <c r="H17" s="40"/>
      <c r="I17" s="26"/>
      <c r="J17" s="26"/>
      <c r="K17" s="26"/>
      <c r="L17" s="41">
        <f t="shared" si="3"/>
        <v>2.25</v>
      </c>
      <c r="M17" s="42"/>
      <c r="N17" s="43"/>
      <c r="O17" s="44"/>
    </row>
    <row r="18" ht="18.0" customHeight="1">
      <c r="A18" s="5"/>
      <c r="B18" s="38" t="s">
        <v>15</v>
      </c>
      <c r="C18" s="23" t="s">
        <v>16</v>
      </c>
      <c r="D18" s="24" t="s">
        <v>27</v>
      </c>
      <c r="E18" s="40"/>
      <c r="F18" s="40"/>
      <c r="G18" s="27">
        <v>1.0</v>
      </c>
      <c r="H18" s="40"/>
      <c r="I18" s="26"/>
      <c r="J18" s="26"/>
      <c r="K18" s="26"/>
      <c r="L18" s="41">
        <f t="shared" si="3"/>
        <v>1</v>
      </c>
      <c r="M18" s="42">
        <f>SUM(L14:L18)</f>
        <v>4.5</v>
      </c>
      <c r="N18" s="43"/>
      <c r="O18" s="44"/>
    </row>
    <row r="19" ht="18.0" customHeight="1">
      <c r="A19" s="48"/>
      <c r="B19" s="49" t="s">
        <v>28</v>
      </c>
      <c r="K19" s="50"/>
      <c r="L19" s="51">
        <f>SUM(L6:L18)</f>
        <v>31</v>
      </c>
      <c r="M19" s="11"/>
    </row>
    <row r="20" ht="18.0" customHeight="1">
      <c r="A20" s="52"/>
      <c r="B20" s="53" t="s">
        <v>29</v>
      </c>
      <c r="C20" s="54"/>
      <c r="D20" s="54"/>
      <c r="E20" s="55"/>
      <c r="F20" s="56"/>
      <c r="G20" s="56"/>
      <c r="H20" s="57"/>
      <c r="I20" s="57"/>
      <c r="J20" s="57"/>
      <c r="K20" s="57"/>
      <c r="L20" s="57"/>
      <c r="M20" s="11"/>
    </row>
    <row r="21" ht="18.0" customHeight="1">
      <c r="A21" s="5"/>
      <c r="B21" s="58" t="s">
        <v>30</v>
      </c>
      <c r="C21" s="59" t="s">
        <v>31</v>
      </c>
      <c r="D21" s="60" t="s">
        <v>32</v>
      </c>
      <c r="E21" s="40"/>
      <c r="F21" s="61">
        <v>0.25</v>
      </c>
      <c r="G21" s="26"/>
      <c r="H21" s="40"/>
      <c r="I21" s="26"/>
      <c r="J21" s="26"/>
      <c r="K21" s="26"/>
      <c r="L21" s="41">
        <f>SUM(E21:K21)</f>
        <v>0.25</v>
      </c>
      <c r="M21" s="11"/>
    </row>
    <row r="22" ht="8.25" customHeight="1">
      <c r="A22" s="5"/>
      <c r="B22" s="45"/>
      <c r="C22" s="46"/>
      <c r="D22" s="47"/>
      <c r="E22" s="34"/>
      <c r="F22" s="35"/>
      <c r="G22" s="36"/>
      <c r="H22" s="34"/>
      <c r="I22" s="35"/>
      <c r="J22" s="35"/>
      <c r="K22" s="35"/>
      <c r="L22" s="37"/>
      <c r="M22" s="11"/>
    </row>
    <row r="23" ht="18.0" customHeight="1">
      <c r="A23" s="5"/>
      <c r="B23" s="58" t="s">
        <v>30</v>
      </c>
      <c r="C23" s="62" t="s">
        <v>33</v>
      </c>
      <c r="D23" s="63" t="s">
        <v>34</v>
      </c>
      <c r="E23" s="40"/>
      <c r="F23" s="61"/>
      <c r="G23" s="26"/>
      <c r="H23" s="27">
        <v>4.0</v>
      </c>
      <c r="I23" s="26"/>
      <c r="J23" s="26"/>
      <c r="K23" s="26"/>
      <c r="L23" s="41">
        <f>SUM(E23:K23)</f>
        <v>4</v>
      </c>
      <c r="M23" s="11"/>
    </row>
    <row r="24" ht="18.0" customHeight="1">
      <c r="A24" s="48"/>
      <c r="B24" s="49" t="s">
        <v>35</v>
      </c>
      <c r="K24" s="50"/>
      <c r="L24" s="64">
        <f>SUM(L21:L23)</f>
        <v>4.25</v>
      </c>
      <c r="M24" s="11"/>
    </row>
    <row r="25" ht="18.0" customHeight="1">
      <c r="A25" s="52"/>
      <c r="B25" s="65"/>
      <c r="C25" s="49" t="s">
        <v>36</v>
      </c>
      <c r="D25" s="50"/>
      <c r="E25" s="61">
        <f t="shared" ref="E25:K25" si="4">SUM(E6:E23)</f>
        <v>0</v>
      </c>
      <c r="F25" s="61">
        <f t="shared" si="4"/>
        <v>0.25</v>
      </c>
      <c r="G25" s="64">
        <f t="shared" si="4"/>
        <v>8</v>
      </c>
      <c r="H25" s="64">
        <f t="shared" si="4"/>
        <v>4</v>
      </c>
      <c r="I25" s="64">
        <f t="shared" si="4"/>
        <v>8</v>
      </c>
      <c r="J25" s="64">
        <f t="shared" si="4"/>
        <v>7</v>
      </c>
      <c r="K25" s="64">
        <f t="shared" si="4"/>
        <v>8</v>
      </c>
      <c r="L25" s="64">
        <f>SUM(E25:K25)</f>
        <v>35.25</v>
      </c>
      <c r="M25" s="11"/>
      <c r="N25" s="66">
        <f>40-L25</f>
        <v>4.75</v>
      </c>
      <c r="O25" s="43" t="s">
        <v>37</v>
      </c>
    </row>
    <row r="26" ht="18.0" customHeight="1">
      <c r="A26" s="52"/>
      <c r="B26" s="67" t="s">
        <v>38</v>
      </c>
      <c r="C26" s="68"/>
      <c r="D26" s="68"/>
      <c r="E26" s="68"/>
      <c r="F26" s="68"/>
      <c r="G26" s="69"/>
      <c r="H26" s="69"/>
      <c r="I26" s="69"/>
      <c r="J26" s="69"/>
      <c r="K26" s="68"/>
      <c r="L26" s="68"/>
      <c r="M26" s="11"/>
      <c r="N26" s="70">
        <f>Time(8,30,0)</f>
        <v>0.3541666667</v>
      </c>
      <c r="O26" s="43" t="s">
        <v>39</v>
      </c>
    </row>
    <row r="27" ht="18.0" customHeight="1">
      <c r="A27" s="5"/>
      <c r="B27" s="71" t="s">
        <v>40</v>
      </c>
      <c r="C27" s="50"/>
      <c r="D27" s="72" t="s">
        <v>41</v>
      </c>
      <c r="E27" s="54"/>
      <c r="F27" s="73"/>
      <c r="G27" s="74" t="s">
        <v>42</v>
      </c>
      <c r="H27" s="14"/>
      <c r="I27" s="14"/>
      <c r="J27" s="8"/>
      <c r="K27" s="75">
        <f>L25</f>
        <v>35.25</v>
      </c>
      <c r="L27" s="76"/>
      <c r="M27" s="11"/>
      <c r="N27" s="70">
        <f>N26+time(N25,0,0)</f>
        <v>0.5208333333</v>
      </c>
      <c r="O27" s="43" t="s">
        <v>43</v>
      </c>
    </row>
    <row r="28" ht="18.0" customHeight="1">
      <c r="A28" s="5"/>
      <c r="C28" s="50"/>
      <c r="D28" s="77"/>
      <c r="F28" s="10"/>
      <c r="G28" s="74" t="s">
        <v>44</v>
      </c>
      <c r="H28" s="14"/>
      <c r="I28" s="14"/>
      <c r="J28" s="8"/>
      <c r="K28" s="78"/>
      <c r="L28" s="79"/>
      <c r="M28" s="11"/>
    </row>
    <row r="29" ht="18.0" customHeight="1">
      <c r="A29" s="5"/>
      <c r="B29" s="80" t="s">
        <v>45</v>
      </c>
      <c r="C29" s="81">
        <f>C3</f>
        <v>45996</v>
      </c>
      <c r="D29" s="82"/>
      <c r="E29" s="83"/>
      <c r="F29" s="84"/>
      <c r="G29" s="74" t="s">
        <v>46</v>
      </c>
      <c r="H29" s="14"/>
      <c r="I29" s="14"/>
      <c r="J29" s="8"/>
      <c r="K29" s="75">
        <f>K27+K28</f>
        <v>35.25</v>
      </c>
      <c r="L29" s="76"/>
      <c r="M29" s="11"/>
    </row>
    <row r="30">
      <c r="A30" s="85"/>
      <c r="B30" s="86"/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7"/>
    </row>
  </sheetData>
  <mergeCells count="19">
    <mergeCell ref="C2:D2"/>
    <mergeCell ref="E2:L3"/>
    <mergeCell ref="C3:D3"/>
    <mergeCell ref="B4:B5"/>
    <mergeCell ref="C4:C5"/>
    <mergeCell ref="D4:D5"/>
    <mergeCell ref="L4:L5"/>
    <mergeCell ref="G27:J27"/>
    <mergeCell ref="G28:J28"/>
    <mergeCell ref="K28:L28"/>
    <mergeCell ref="G29:J29"/>
    <mergeCell ref="K29:L29"/>
    <mergeCell ref="B19:K19"/>
    <mergeCell ref="B20:D20"/>
    <mergeCell ref="B24:K24"/>
    <mergeCell ref="C25:D25"/>
    <mergeCell ref="B27:C28"/>
    <mergeCell ref="D27:F29"/>
    <mergeCell ref="K27:L27"/>
  </mergeCells>
  <printOptions horizontalCentered="1"/>
  <pageMargins bottom="0.0" footer="0.0" header="0.0" left="0.0" right="0.0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2" width="16.43"/>
    <col customWidth="1" min="3" max="3" width="18.29"/>
    <col customWidth="1" min="4" max="4" width="19.57"/>
    <col customWidth="1" min="5" max="5" width="17.57"/>
    <col customWidth="1" min="6" max="24" width="16.43"/>
  </cols>
  <sheetData>
    <row r="1">
      <c r="A1" s="88" t="s">
        <v>47</v>
      </c>
      <c r="B1" s="88" t="s">
        <v>48</v>
      </c>
      <c r="C1" s="43" t="s">
        <v>49</v>
      </c>
      <c r="D1" s="43" t="s">
        <v>50</v>
      </c>
    </row>
    <row r="2">
      <c r="A2" s="89">
        <f t="shared" ref="A2:A52" si="1">A3+7</f>
        <v>46017</v>
      </c>
      <c r="B2" s="88"/>
      <c r="C2" s="88">
        <f t="shared" ref="C2:C51" si="2">MIN(72, _xlfn.FLOOR.MATH(SUM(B2:B$53)/30))</f>
        <v>61</v>
      </c>
      <c r="E2" s="90" t="s">
        <v>51</v>
      </c>
      <c r="F2" s="91"/>
    </row>
    <row r="3">
      <c r="A3" s="89">
        <f t="shared" si="1"/>
        <v>46010</v>
      </c>
      <c r="B3" s="88"/>
      <c r="C3" s="88">
        <f t="shared" si="2"/>
        <v>61</v>
      </c>
      <c r="E3" s="92"/>
      <c r="F3" s="93"/>
    </row>
    <row r="4">
      <c r="A4" s="89">
        <f t="shared" si="1"/>
        <v>46003</v>
      </c>
      <c r="B4" s="88"/>
      <c r="C4" s="88">
        <f t="shared" si="2"/>
        <v>61</v>
      </c>
      <c r="E4" s="94" t="s">
        <v>52</v>
      </c>
      <c r="F4" s="95">
        <f>C20</f>
        <v>50</v>
      </c>
    </row>
    <row r="5">
      <c r="A5" s="89">
        <f t="shared" si="1"/>
        <v>45996</v>
      </c>
      <c r="B5" s="88"/>
      <c r="C5" s="88">
        <f t="shared" si="2"/>
        <v>61</v>
      </c>
      <c r="E5" s="96" t="s">
        <v>53</v>
      </c>
      <c r="F5" s="97">
        <f>$D55</f>
        <v>-25</v>
      </c>
    </row>
    <row r="6">
      <c r="A6" s="89">
        <f t="shared" si="1"/>
        <v>45989</v>
      </c>
      <c r="B6" s="88"/>
      <c r="C6" s="88">
        <f t="shared" si="2"/>
        <v>61</v>
      </c>
      <c r="E6" s="98" t="s">
        <v>54</v>
      </c>
      <c r="F6" s="99">
        <f>F4+F5</f>
        <v>25</v>
      </c>
    </row>
    <row r="7">
      <c r="A7" s="89">
        <f t="shared" si="1"/>
        <v>45982</v>
      </c>
      <c r="B7" s="88"/>
      <c r="C7" s="88">
        <f t="shared" si="2"/>
        <v>61</v>
      </c>
    </row>
    <row r="8">
      <c r="A8" s="89">
        <f t="shared" si="1"/>
        <v>45975</v>
      </c>
      <c r="B8" s="88"/>
      <c r="C8" s="88">
        <f t="shared" si="2"/>
        <v>61</v>
      </c>
    </row>
    <row r="9">
      <c r="A9" s="89">
        <f t="shared" si="1"/>
        <v>45968</v>
      </c>
      <c r="B9" s="88"/>
      <c r="C9" s="88">
        <f t="shared" si="2"/>
        <v>61</v>
      </c>
    </row>
    <row r="10">
      <c r="A10" s="89">
        <f t="shared" si="1"/>
        <v>45961</v>
      </c>
      <c r="B10" s="88">
        <v>35.75</v>
      </c>
      <c r="C10" s="88">
        <f t="shared" si="2"/>
        <v>61</v>
      </c>
    </row>
    <row r="11">
      <c r="A11" s="89">
        <f t="shared" si="1"/>
        <v>45954</v>
      </c>
      <c r="B11" s="88">
        <v>35.0</v>
      </c>
      <c r="C11" s="88">
        <f t="shared" si="2"/>
        <v>60</v>
      </c>
    </row>
    <row r="12">
      <c r="A12" s="89">
        <f t="shared" si="1"/>
        <v>45947</v>
      </c>
      <c r="B12" s="88">
        <v>36.25</v>
      </c>
      <c r="C12" s="88">
        <f t="shared" si="2"/>
        <v>59</v>
      </c>
    </row>
    <row r="13">
      <c r="A13" s="89">
        <f t="shared" si="1"/>
        <v>45940</v>
      </c>
      <c r="B13" s="88">
        <v>35.25</v>
      </c>
      <c r="C13" s="88">
        <f t="shared" si="2"/>
        <v>58</v>
      </c>
    </row>
    <row r="14">
      <c r="A14" s="89">
        <f t="shared" si="1"/>
        <v>45933</v>
      </c>
      <c r="B14" s="88">
        <v>36.25</v>
      </c>
      <c r="C14" s="88">
        <f t="shared" si="2"/>
        <v>57</v>
      </c>
      <c r="E14" s="100"/>
      <c r="F14" s="100"/>
    </row>
    <row r="15">
      <c r="A15" s="89">
        <f t="shared" si="1"/>
        <v>45926</v>
      </c>
      <c r="B15" s="88">
        <v>27.0</v>
      </c>
      <c r="C15" s="88">
        <f t="shared" si="2"/>
        <v>55</v>
      </c>
      <c r="E15" s="100"/>
      <c r="F15" s="100"/>
    </row>
    <row r="16">
      <c r="A16" s="89">
        <f t="shared" si="1"/>
        <v>45919</v>
      </c>
      <c r="B16" s="88">
        <v>40.0</v>
      </c>
      <c r="C16" s="88">
        <f t="shared" si="2"/>
        <v>55</v>
      </c>
      <c r="D16" s="43">
        <v>-8.0</v>
      </c>
      <c r="E16" s="100"/>
      <c r="F16" s="100"/>
    </row>
    <row r="17">
      <c r="A17" s="89">
        <f t="shared" si="1"/>
        <v>45912</v>
      </c>
      <c r="B17" s="88">
        <v>38.5</v>
      </c>
      <c r="C17" s="88">
        <f t="shared" si="2"/>
        <v>53</v>
      </c>
      <c r="E17" s="100"/>
      <c r="F17" s="100"/>
    </row>
    <row r="18">
      <c r="A18" s="89">
        <f t="shared" si="1"/>
        <v>45905</v>
      </c>
      <c r="B18" s="88">
        <v>31.5</v>
      </c>
      <c r="C18" s="88">
        <f t="shared" si="2"/>
        <v>52</v>
      </c>
      <c r="E18" s="100"/>
      <c r="F18" s="100"/>
    </row>
    <row r="19">
      <c r="A19" s="89">
        <f t="shared" si="1"/>
        <v>45898</v>
      </c>
      <c r="B19" s="88">
        <v>40.0</v>
      </c>
      <c r="C19" s="88">
        <f t="shared" si="2"/>
        <v>51</v>
      </c>
      <c r="E19" s="100"/>
      <c r="F19" s="100"/>
    </row>
    <row r="20">
      <c r="A20" s="89">
        <f t="shared" si="1"/>
        <v>45891</v>
      </c>
      <c r="B20" s="88">
        <v>40.5</v>
      </c>
      <c r="C20" s="88">
        <f t="shared" si="2"/>
        <v>50</v>
      </c>
    </row>
    <row r="21">
      <c r="A21" s="89">
        <f t="shared" si="1"/>
        <v>45884</v>
      </c>
      <c r="B21" s="43">
        <v>36.0</v>
      </c>
      <c r="C21" s="88">
        <f t="shared" si="2"/>
        <v>48</v>
      </c>
    </row>
    <row r="22">
      <c r="A22" s="89">
        <f t="shared" si="1"/>
        <v>45877</v>
      </c>
      <c r="B22" s="88">
        <v>40.0</v>
      </c>
      <c r="C22" s="88">
        <f t="shared" si="2"/>
        <v>47</v>
      </c>
    </row>
    <row r="23">
      <c r="A23" s="89">
        <f t="shared" si="1"/>
        <v>45870</v>
      </c>
      <c r="B23" s="88">
        <v>40.0</v>
      </c>
      <c r="C23" s="88">
        <f t="shared" si="2"/>
        <v>46</v>
      </c>
    </row>
    <row r="24">
      <c r="A24" s="89">
        <f t="shared" si="1"/>
        <v>45863</v>
      </c>
      <c r="B24" s="88">
        <v>40.0</v>
      </c>
      <c r="C24" s="88">
        <f t="shared" si="2"/>
        <v>44</v>
      </c>
    </row>
    <row r="25">
      <c r="A25" s="89">
        <f t="shared" si="1"/>
        <v>45856</v>
      </c>
      <c r="B25" s="88">
        <v>40.0</v>
      </c>
      <c r="C25" s="88">
        <f t="shared" si="2"/>
        <v>43</v>
      </c>
    </row>
    <row r="26">
      <c r="A26" s="89">
        <f t="shared" si="1"/>
        <v>45849</v>
      </c>
      <c r="B26" s="88">
        <v>40.75</v>
      </c>
      <c r="C26" s="88">
        <f t="shared" si="2"/>
        <v>42</v>
      </c>
    </row>
    <row r="27">
      <c r="A27" s="89">
        <f t="shared" si="1"/>
        <v>45842</v>
      </c>
      <c r="B27" s="88">
        <v>32.0</v>
      </c>
      <c r="C27" s="88">
        <f t="shared" si="2"/>
        <v>40</v>
      </c>
    </row>
    <row r="28">
      <c r="A28" s="89">
        <f t="shared" si="1"/>
        <v>45835</v>
      </c>
      <c r="B28" s="88">
        <v>40.0</v>
      </c>
      <c r="C28" s="88">
        <f t="shared" si="2"/>
        <v>39</v>
      </c>
    </row>
    <row r="29">
      <c r="A29" s="89">
        <f t="shared" si="1"/>
        <v>45828</v>
      </c>
      <c r="B29" s="88">
        <v>40.0</v>
      </c>
      <c r="C29" s="88">
        <f t="shared" si="2"/>
        <v>38</v>
      </c>
    </row>
    <row r="30">
      <c r="A30" s="89">
        <f t="shared" si="1"/>
        <v>45821</v>
      </c>
      <c r="B30" s="88">
        <v>40.0</v>
      </c>
      <c r="C30" s="88">
        <f t="shared" si="2"/>
        <v>37</v>
      </c>
    </row>
    <row r="31">
      <c r="A31" s="89">
        <f t="shared" si="1"/>
        <v>45814</v>
      </c>
      <c r="B31" s="88">
        <v>39.5</v>
      </c>
      <c r="C31" s="88">
        <f t="shared" si="2"/>
        <v>35</v>
      </c>
    </row>
    <row r="32">
      <c r="A32" s="89">
        <f t="shared" si="1"/>
        <v>45807</v>
      </c>
      <c r="B32" s="88">
        <v>24.25</v>
      </c>
      <c r="C32" s="88">
        <f t="shared" si="2"/>
        <v>34</v>
      </c>
    </row>
    <row r="33">
      <c r="A33" s="89">
        <f t="shared" si="1"/>
        <v>45800</v>
      </c>
      <c r="B33" s="88">
        <v>32.5</v>
      </c>
      <c r="C33" s="88">
        <f t="shared" si="2"/>
        <v>33</v>
      </c>
    </row>
    <row r="34">
      <c r="A34" s="89">
        <f t="shared" si="1"/>
        <v>45793</v>
      </c>
      <c r="B34" s="88">
        <v>31.0</v>
      </c>
      <c r="C34" s="88">
        <f t="shared" si="2"/>
        <v>32</v>
      </c>
    </row>
    <row r="35">
      <c r="A35" s="89">
        <f t="shared" si="1"/>
        <v>45786</v>
      </c>
      <c r="B35" s="88">
        <v>40.75</v>
      </c>
      <c r="C35" s="88">
        <f t="shared" si="2"/>
        <v>31</v>
      </c>
      <c r="D35" s="43">
        <v>-9.0</v>
      </c>
    </row>
    <row r="36">
      <c r="A36" s="89">
        <f t="shared" si="1"/>
        <v>45779</v>
      </c>
      <c r="B36" s="88">
        <v>270.0</v>
      </c>
      <c r="C36" s="88">
        <f t="shared" si="2"/>
        <v>30</v>
      </c>
      <c r="E36" s="43" t="s">
        <v>55</v>
      </c>
    </row>
    <row r="37">
      <c r="A37" s="89">
        <f t="shared" si="1"/>
        <v>45772</v>
      </c>
      <c r="B37" s="88">
        <v>39.5</v>
      </c>
      <c r="C37" s="88">
        <f t="shared" si="2"/>
        <v>21</v>
      </c>
    </row>
    <row r="38">
      <c r="A38" s="89">
        <f t="shared" si="1"/>
        <v>45765</v>
      </c>
      <c r="B38" s="88">
        <v>39.75</v>
      </c>
      <c r="C38" s="88">
        <f t="shared" si="2"/>
        <v>19</v>
      </c>
    </row>
    <row r="39">
      <c r="A39" s="89">
        <f t="shared" si="1"/>
        <v>45758</v>
      </c>
      <c r="B39" s="88">
        <v>38.5</v>
      </c>
      <c r="C39" s="88">
        <f t="shared" si="2"/>
        <v>18</v>
      </c>
    </row>
    <row r="40">
      <c r="A40" s="89">
        <f t="shared" si="1"/>
        <v>45751</v>
      </c>
      <c r="B40" s="88">
        <v>39.75</v>
      </c>
      <c r="C40" s="88">
        <f t="shared" si="2"/>
        <v>17</v>
      </c>
    </row>
    <row r="41">
      <c r="A41" s="89">
        <f t="shared" si="1"/>
        <v>45744</v>
      </c>
      <c r="B41" s="88">
        <v>41.5</v>
      </c>
      <c r="C41" s="88">
        <f t="shared" si="2"/>
        <v>15</v>
      </c>
    </row>
    <row r="42">
      <c r="A42" s="89">
        <f t="shared" si="1"/>
        <v>45737</v>
      </c>
      <c r="B42" s="88">
        <v>30.75</v>
      </c>
      <c r="C42" s="88">
        <f t="shared" si="2"/>
        <v>14</v>
      </c>
    </row>
    <row r="43">
      <c r="A43" s="89">
        <f t="shared" si="1"/>
        <v>45730</v>
      </c>
      <c r="B43" s="88">
        <v>38.75</v>
      </c>
      <c r="C43" s="88">
        <f t="shared" si="2"/>
        <v>13</v>
      </c>
    </row>
    <row r="44">
      <c r="A44" s="89">
        <f t="shared" si="1"/>
        <v>45723</v>
      </c>
      <c r="B44" s="88">
        <v>41.0</v>
      </c>
      <c r="C44" s="88">
        <f t="shared" si="2"/>
        <v>12</v>
      </c>
    </row>
    <row r="45">
      <c r="A45" s="89">
        <f t="shared" si="1"/>
        <v>45716</v>
      </c>
      <c r="B45" s="88">
        <v>28.5</v>
      </c>
      <c r="C45" s="88">
        <f t="shared" si="2"/>
        <v>10</v>
      </c>
      <c r="D45" s="43">
        <v>-8.0</v>
      </c>
    </row>
    <row r="46">
      <c r="A46" s="89">
        <f t="shared" si="1"/>
        <v>45709</v>
      </c>
      <c r="B46" s="88">
        <v>39.0</v>
      </c>
      <c r="C46" s="88">
        <f t="shared" si="2"/>
        <v>9</v>
      </c>
    </row>
    <row r="47">
      <c r="A47" s="89">
        <f t="shared" si="1"/>
        <v>45702</v>
      </c>
      <c r="B47" s="88">
        <v>39.75</v>
      </c>
      <c r="C47" s="88">
        <f t="shared" si="2"/>
        <v>8</v>
      </c>
    </row>
    <row r="48">
      <c r="A48" s="89">
        <f t="shared" si="1"/>
        <v>45695</v>
      </c>
      <c r="B48" s="88">
        <v>40.5</v>
      </c>
      <c r="C48" s="88">
        <f t="shared" si="2"/>
        <v>7</v>
      </c>
    </row>
    <row r="49">
      <c r="A49" s="89">
        <f t="shared" si="1"/>
        <v>45688</v>
      </c>
      <c r="B49" s="88">
        <v>39.75</v>
      </c>
      <c r="C49" s="88">
        <f t="shared" si="2"/>
        <v>5</v>
      </c>
    </row>
    <row r="50">
      <c r="A50" s="89">
        <f t="shared" si="1"/>
        <v>45681</v>
      </c>
      <c r="B50" s="88">
        <v>38.0</v>
      </c>
      <c r="C50" s="88">
        <f t="shared" si="2"/>
        <v>4</v>
      </c>
    </row>
    <row r="51">
      <c r="A51" s="89">
        <f t="shared" si="1"/>
        <v>45674</v>
      </c>
      <c r="B51" s="88">
        <v>41.5</v>
      </c>
      <c r="C51" s="88">
        <f t="shared" si="2"/>
        <v>3</v>
      </c>
    </row>
    <row r="52">
      <c r="A52" s="89">
        <f t="shared" si="1"/>
        <v>45667</v>
      </c>
      <c r="B52" s="88">
        <v>40.5</v>
      </c>
      <c r="C52" s="88">
        <f>_xlfn.FLOOR.MATH(sum(B52:B$53)/30)</f>
        <v>1</v>
      </c>
    </row>
    <row r="53">
      <c r="A53" s="89">
        <v>45660.0</v>
      </c>
      <c r="B53" s="88">
        <v>16.0</v>
      </c>
      <c r="C53" s="88">
        <f>_xlfn.FLOOR.MATH(B53/30)</f>
        <v>0</v>
      </c>
    </row>
    <row r="54">
      <c r="A54" s="101"/>
      <c r="B54" s="101"/>
      <c r="C54" s="101"/>
      <c r="D54" s="101"/>
    </row>
    <row r="55">
      <c r="A55" s="88" t="s">
        <v>56</v>
      </c>
      <c r="B55" s="88">
        <f>SUM(B20:B53)</f>
        <v>1500.25</v>
      </c>
      <c r="D55" s="88">
        <f>SUM(D2:D53)</f>
        <v>-25</v>
      </c>
    </row>
  </sheetData>
  <mergeCells count="1">
    <mergeCell ref="E2:F3"/>
  </mergeCells>
  <conditionalFormatting sqref="B2:B53">
    <cfRule type="cellIs" dxfId="0" priority="1" operator="greaterThanOrEqual">
      <formula>30</formula>
    </cfRule>
  </conditionalFormatting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2020-02-21T15:48:24Z</dcterms:created>
  <dc:creator>pm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